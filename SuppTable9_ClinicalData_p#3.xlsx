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Thesis_project/Pacientes/IBS08_longitudinal/Paper_IBS08/"/>
    </mc:Choice>
  </mc:AlternateContent>
  <xr:revisionPtr revIDLastSave="0" documentId="13_ncr:1_{B99F56D8-A916-CB45-8D86-6538A0D57E99}" xr6:coauthVersionLast="47" xr6:coauthVersionMax="47" xr10:uidLastSave="{00000000-0000-0000-0000-000000000000}"/>
  <bookViews>
    <workbookView xWindow="14860" yWindow="740" windowWidth="14540" windowHeight="16880" xr2:uid="{65FAFDC6-6537-8843-8159-E6D6D434D670}"/>
  </bookViews>
  <sheets>
    <sheet name="Clinical history patient #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23" i="1"/>
  <c r="E23" i="1" s="1"/>
  <c r="D11" i="1"/>
  <c r="E11" i="1" s="1"/>
  <c r="E9" i="1"/>
  <c r="D8" i="1"/>
  <c r="E8" i="1" s="1"/>
  <c r="D22" i="1"/>
  <c r="E22" i="1" s="1"/>
  <c r="D21" i="1"/>
  <c r="E21" i="1" s="1"/>
  <c r="D20" i="1"/>
  <c r="E20" i="1" s="1"/>
  <c r="D18" i="1"/>
  <c r="E18" i="1" s="1"/>
  <c r="D19" i="1"/>
  <c r="E19" i="1" s="1"/>
  <c r="D17" i="1"/>
  <c r="E17" i="1" s="1"/>
  <c r="D15" i="1"/>
  <c r="E15" i="1" s="1"/>
</calcChain>
</file>

<file path=xl/sharedStrings.xml><?xml version="1.0" encoding="utf-8"?>
<sst xmlns="http://schemas.openxmlformats.org/spreadsheetml/2006/main" count="40" uniqueCount="40">
  <si>
    <t>Month post-infusion</t>
  </si>
  <si>
    <t>Event</t>
  </si>
  <si>
    <t>Lymphodepletion</t>
  </si>
  <si>
    <t>ARI002h infusion (30%)</t>
  </si>
  <si>
    <t>ARI002h infusion (10%)</t>
  </si>
  <si>
    <t>Persistent grade 1 CRS</t>
  </si>
  <si>
    <t>CRS = cytokine release syndrome</t>
  </si>
  <si>
    <t>CVC = central venous catheter</t>
  </si>
  <si>
    <t>Candida parapsilosis infection in the CVC</t>
  </si>
  <si>
    <t>Date</t>
  </si>
  <si>
    <t>Day post-infusion</t>
  </si>
  <si>
    <t>CRS treatment</t>
  </si>
  <si>
    <t>Tocilizumab two doses</t>
  </si>
  <si>
    <t>Siltuximab one dose</t>
  </si>
  <si>
    <t>Antibiotics: Tazocel / Meropenem, Teicoplanina and Amikacine</t>
  </si>
  <si>
    <t>Cytopenias</t>
  </si>
  <si>
    <t>Dexamethasone</t>
  </si>
  <si>
    <t>Lymphocytosis</t>
  </si>
  <si>
    <t>CMV treatment</t>
  </si>
  <si>
    <t>CMV = cytomegalovirus</t>
  </si>
  <si>
    <t>PB = peripheral blood</t>
  </si>
  <si>
    <t>IV = intravenous</t>
  </si>
  <si>
    <t>CMV negativization</t>
  </si>
  <si>
    <t>Unilateral phacoemulsification (cataract surgery)</t>
  </si>
  <si>
    <t>Iron-deficiency anemia</t>
  </si>
  <si>
    <t>DVT of the left lower limb</t>
  </si>
  <si>
    <t>DVT = deep vein thrombosis</t>
  </si>
  <si>
    <t>URTI</t>
  </si>
  <si>
    <t>URTI = upper respiratory tract infection</t>
  </si>
  <si>
    <t>IV Foscarnet two weeks / Valganciclovir</t>
  </si>
  <si>
    <t>Progression with extramedullary disease</t>
  </si>
  <si>
    <t>Assimptomatic CMV reactivation in PB</t>
  </si>
  <si>
    <t>Last visit (EOT): MRD+ in BM</t>
  </si>
  <si>
    <t>EOT = End of Treatment</t>
  </si>
  <si>
    <t>8-9</t>
  </si>
  <si>
    <t>Metilprednisolone 1g three doses</t>
  </si>
  <si>
    <t>Metilprednisolone descendant regime</t>
  </si>
  <si>
    <t>23-24/3/21</t>
  </si>
  <si>
    <t>27-29/3/21</t>
  </si>
  <si>
    <t>until 14/4/2021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</si>
</sst>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49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A30B-150B-654F-B06C-E27156D5ECD7}">
  <dimension ref="A1:F32"/>
  <sheetViews>
    <sheetView tabSelected="1" zoomScale="92" workbookViewId="0">
      <selection activeCell="B37" sqref="B37"/>
    </sheetView>
  </sheetViews>
  <sheetFormatPr baseColWidth="10" defaultRowHeight="16" x14ac:dyDescent="0.2"/>
  <cols>
    <col min="1" max="1" width="15.1640625" customWidth="1"/>
    <col min="2" max="2" width="51.33203125" customWidth="1"/>
    <col min="3" max="3" width="14.5" customWidth="1"/>
    <col min="4" max="4" width="16.6640625" customWidth="1"/>
    <col min="5" max="5" width="21.1640625" customWidth="1"/>
    <col min="6" max="6" width="14.1640625" customWidth="1"/>
  </cols>
  <sheetData>
    <row r="1" spans="1:6" x14ac:dyDescent="0.2">
      <c r="B1" s="2" t="s">
        <v>1</v>
      </c>
      <c r="C1" s="2" t="s">
        <v>9</v>
      </c>
      <c r="D1" s="2" t="s">
        <v>10</v>
      </c>
      <c r="E1" s="2" t="s">
        <v>0</v>
      </c>
      <c r="F1" s="2"/>
    </row>
    <row r="2" spans="1:6" x14ac:dyDescent="0.2">
      <c r="B2" s="2" t="s">
        <v>8</v>
      </c>
      <c r="C2" s="6">
        <v>44263</v>
      </c>
    </row>
    <row r="3" spans="1:6" x14ac:dyDescent="0.2">
      <c r="B3" s="2" t="s">
        <v>2</v>
      </c>
      <c r="C3" s="6">
        <v>44264</v>
      </c>
    </row>
    <row r="4" spans="1:6" x14ac:dyDescent="0.2">
      <c r="B4" s="2" t="s">
        <v>4</v>
      </c>
      <c r="C4" s="6">
        <v>44270</v>
      </c>
      <c r="D4">
        <v>0</v>
      </c>
      <c r="E4">
        <v>0</v>
      </c>
    </row>
    <row r="5" spans="1:6" x14ac:dyDescent="0.2">
      <c r="B5" s="2" t="s">
        <v>3</v>
      </c>
      <c r="C5" s="6">
        <v>45369</v>
      </c>
    </row>
    <row r="6" spans="1:6" x14ac:dyDescent="0.2">
      <c r="B6" s="2" t="s">
        <v>5</v>
      </c>
      <c r="C6" s="7"/>
    </row>
    <row r="7" spans="1:6" x14ac:dyDescent="0.2">
      <c r="A7" s="8" t="s">
        <v>11</v>
      </c>
      <c r="B7" t="s">
        <v>12</v>
      </c>
      <c r="C7" s="6" t="s">
        <v>37</v>
      </c>
      <c r="D7" s="5" t="s">
        <v>34</v>
      </c>
      <c r="E7" s="4">
        <v>0.29702970297029702</v>
      </c>
    </row>
    <row r="8" spans="1:6" x14ac:dyDescent="0.2">
      <c r="A8" s="8"/>
      <c r="B8" t="s">
        <v>16</v>
      </c>
      <c r="C8" s="6">
        <v>44279</v>
      </c>
      <c r="D8">
        <f t="shared" ref="D8:D11" si="0">C8-$C$4</f>
        <v>9</v>
      </c>
      <c r="E8" s="4">
        <f t="shared" ref="E8:E9" si="1">D8/30.3</f>
        <v>0.29702970297029702</v>
      </c>
    </row>
    <row r="9" spans="1:6" x14ac:dyDescent="0.2">
      <c r="A9" s="8"/>
      <c r="B9" t="s">
        <v>35</v>
      </c>
      <c r="C9" s="6" t="s">
        <v>38</v>
      </c>
      <c r="D9">
        <v>12</v>
      </c>
      <c r="E9" s="4">
        <f t="shared" si="1"/>
        <v>0.396039603960396</v>
      </c>
    </row>
    <row r="10" spans="1:6" x14ac:dyDescent="0.2">
      <c r="A10" s="8"/>
      <c r="B10" t="s">
        <v>36</v>
      </c>
      <c r="C10" s="6" t="s">
        <v>39</v>
      </c>
      <c r="D10">
        <v>30</v>
      </c>
      <c r="E10" s="4">
        <f>D10/30.3</f>
        <v>0.99009900990099009</v>
      </c>
    </row>
    <row r="11" spans="1:6" x14ac:dyDescent="0.2">
      <c r="A11" s="8"/>
      <c r="B11" t="s">
        <v>13</v>
      </c>
      <c r="C11" s="6">
        <v>44283</v>
      </c>
      <c r="D11">
        <f t="shared" si="0"/>
        <v>13</v>
      </c>
      <c r="E11" s="4">
        <f>D11/30.3</f>
        <v>0.42904290429042902</v>
      </c>
    </row>
    <row r="12" spans="1:6" x14ac:dyDescent="0.2">
      <c r="A12" s="8"/>
      <c r="B12" t="s">
        <v>14</v>
      </c>
    </row>
    <row r="13" spans="1:6" x14ac:dyDescent="0.2">
      <c r="B13" s="2" t="s">
        <v>15</v>
      </c>
    </row>
    <row r="14" spans="1:6" x14ac:dyDescent="0.2">
      <c r="B14" s="2" t="s">
        <v>17</v>
      </c>
    </row>
    <row r="15" spans="1:6" x14ac:dyDescent="0.2">
      <c r="B15" s="2" t="s">
        <v>31</v>
      </c>
      <c r="C15" s="1">
        <v>44301</v>
      </c>
      <c r="D15">
        <f>C15-C4</f>
        <v>31</v>
      </c>
      <c r="E15" s="4">
        <f>D15/30.3</f>
        <v>1.023102310231023</v>
      </c>
    </row>
    <row r="16" spans="1:6" x14ac:dyDescent="0.2">
      <c r="A16" s="2" t="s">
        <v>18</v>
      </c>
      <c r="B16" s="3" t="s">
        <v>29</v>
      </c>
      <c r="E16" s="4"/>
    </row>
    <row r="17" spans="2:5" x14ac:dyDescent="0.2">
      <c r="B17" s="2" t="s">
        <v>22</v>
      </c>
      <c r="C17" s="1">
        <v>44371</v>
      </c>
      <c r="D17">
        <f>C17-$C$4</f>
        <v>101</v>
      </c>
      <c r="E17" s="4">
        <f t="shared" ref="E17:E22" si="2">D17/30.3</f>
        <v>3.333333333333333</v>
      </c>
    </row>
    <row r="18" spans="2:5" x14ac:dyDescent="0.2">
      <c r="B18" s="2" t="s">
        <v>23</v>
      </c>
      <c r="C18" s="1">
        <v>44508</v>
      </c>
      <c r="D18">
        <f t="shared" ref="D18:D19" si="3">C18-$C$4</f>
        <v>238</v>
      </c>
      <c r="E18" s="4">
        <f>D18/30.3</f>
        <v>7.8547854785478544</v>
      </c>
    </row>
    <row r="19" spans="2:5" x14ac:dyDescent="0.2">
      <c r="B19" s="2" t="s">
        <v>24</v>
      </c>
      <c r="C19" s="1">
        <v>44697</v>
      </c>
      <c r="D19">
        <f t="shared" si="3"/>
        <v>427</v>
      </c>
      <c r="E19" s="4">
        <f t="shared" si="2"/>
        <v>14.092409240924091</v>
      </c>
    </row>
    <row r="20" spans="2:5" x14ac:dyDescent="0.2">
      <c r="B20" s="2" t="s">
        <v>27</v>
      </c>
      <c r="C20" s="1">
        <v>44858</v>
      </c>
      <c r="D20">
        <f>C20-$C$4</f>
        <v>588</v>
      </c>
      <c r="E20" s="4">
        <f t="shared" si="2"/>
        <v>19.405940594059405</v>
      </c>
    </row>
    <row r="21" spans="2:5" x14ac:dyDescent="0.2">
      <c r="B21" s="2" t="s">
        <v>25</v>
      </c>
      <c r="C21" s="1">
        <v>44858</v>
      </c>
      <c r="D21">
        <f>C21-$C$4</f>
        <v>588</v>
      </c>
      <c r="E21" s="4">
        <f t="shared" si="2"/>
        <v>19.405940594059405</v>
      </c>
    </row>
    <row r="22" spans="2:5" x14ac:dyDescent="0.2">
      <c r="B22" s="2" t="s">
        <v>30</v>
      </c>
      <c r="C22" s="1">
        <v>44873</v>
      </c>
      <c r="D22">
        <f>C22-$C$4</f>
        <v>603</v>
      </c>
      <c r="E22" s="4">
        <f t="shared" si="2"/>
        <v>19.900990099009899</v>
      </c>
    </row>
    <row r="23" spans="2:5" x14ac:dyDescent="0.2">
      <c r="B23" s="2" t="s">
        <v>32</v>
      </c>
      <c r="C23" s="1">
        <v>44935</v>
      </c>
      <c r="D23">
        <f>C23-$C$4</f>
        <v>665</v>
      </c>
      <c r="E23" s="4">
        <f>D23/30.3</f>
        <v>21.947194719471948</v>
      </c>
    </row>
    <row r="25" spans="2:5" x14ac:dyDescent="0.2">
      <c r="B25" t="s">
        <v>7</v>
      </c>
    </row>
    <row r="26" spans="2:5" x14ac:dyDescent="0.2">
      <c r="B26" t="s">
        <v>6</v>
      </c>
    </row>
    <row r="27" spans="2:5" x14ac:dyDescent="0.2">
      <c r="B27" t="s">
        <v>19</v>
      </c>
    </row>
    <row r="28" spans="2:5" x14ac:dyDescent="0.2">
      <c r="B28" t="s">
        <v>20</v>
      </c>
    </row>
    <row r="29" spans="2:5" x14ac:dyDescent="0.2">
      <c r="B29" t="s">
        <v>21</v>
      </c>
    </row>
    <row r="30" spans="2:5" x14ac:dyDescent="0.2">
      <c r="B30" t="s">
        <v>28</v>
      </c>
    </row>
    <row r="31" spans="2:5" x14ac:dyDescent="0.2">
      <c r="B31" t="s">
        <v>26</v>
      </c>
    </row>
    <row r="32" spans="2:5" x14ac:dyDescent="0.2">
      <c r="B32" t="s">
        <v>33</v>
      </c>
    </row>
  </sheetData>
  <mergeCells count="1"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history patient 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2025-05-05T12:07:55Z</dcterms:created>
  <dcterms:modified xsi:type="dcterms:W3CDTF">2026-03-02T08:59:57Z</dcterms:modified>
</cp:coreProperties>
</file>